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hamka\pelatihan rekamin_homecredit_ds\latihan\"/>
    </mc:Choice>
  </mc:AlternateContent>
  <bookViews>
    <workbookView xWindow="0" yWindow="0" windowWidth="20490" windowHeight="6030"/>
  </bookViews>
  <sheets>
    <sheet name="SUMIF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E2" i="1"/>
  <c r="F2" i="1"/>
</calcChain>
</file>

<file path=xl/sharedStrings.xml><?xml version="1.0" encoding="utf-8"?>
<sst xmlns="http://schemas.openxmlformats.org/spreadsheetml/2006/main" count="41" uniqueCount="21">
  <si>
    <t>Donat</t>
  </si>
  <si>
    <t>Makanan</t>
  </si>
  <si>
    <t>Januari</t>
  </si>
  <si>
    <t>Minuman</t>
  </si>
  <si>
    <t>Maret</t>
  </si>
  <si>
    <t>April</t>
  </si>
  <si>
    <t>Mei</t>
  </si>
  <si>
    <t>Total Minuman</t>
  </si>
  <si>
    <t>Total Makanan</t>
  </si>
  <si>
    <t>Total Penjualan dibulat april</t>
  </si>
  <si>
    <t>Roti</t>
  </si>
  <si>
    <t>Jus</t>
  </si>
  <si>
    <t>Kopi</t>
  </si>
  <si>
    <t>Penjualan Donat Maret</t>
  </si>
  <si>
    <t>Kategori</t>
  </si>
  <si>
    <t>Bulan</t>
  </si>
  <si>
    <t>Penjualan</t>
  </si>
  <si>
    <t>Produk</t>
  </si>
  <si>
    <t>Pemjualan Semua Produk Makanan Dibulan Maret</t>
  </si>
  <si>
    <t>Hitung total penjualan produk yang bukan “Donat” tetapi bulan “Maret”.</t>
  </si>
  <si>
    <t>Hitung total penjualan Donat dan Roti di semua bulan selain Mei.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</si>
</sst>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G6" sqref="G6"/>
    </sheetView>
  </sheetViews>
  <sheetFormatPr defaultRowHeight="15" x14ac:dyDescent="0.25"/>
  <cols>
    <col min="1" max="1" width="7.28515625" bestFit="1" customWidth="1"/>
    <col min="2" max="2" width="9.42578125" bestFit="1" customWidth="1"/>
    <col min="3" max="3" width="7.28515625" bestFit="1" customWidth="1"/>
    <col min="4" max="4" width="9.85546875" bestFit="1" customWidth="1"/>
    <col min="5" max="5" width="14.5703125" bestFit="1" customWidth="1"/>
    <col min="6" max="6" width="9.140625" bestFit="1" customWidth="1"/>
    <col min="7" max="7" width="22.42578125" customWidth="1"/>
    <col min="8" max="8" width="16.5703125" customWidth="1"/>
    <col min="9" max="9" width="28.85546875" customWidth="1"/>
    <col min="10" max="10" width="34.7109375" customWidth="1"/>
    <col min="11" max="11" width="32.85546875" customWidth="1"/>
  </cols>
  <sheetData>
    <row r="1" spans="1:11" ht="30" x14ac:dyDescent="0.25">
      <c r="A1" s="5" t="s">
        <v>17</v>
      </c>
      <c r="B1" s="5" t="s">
        <v>14</v>
      </c>
      <c r="C1" s="5" t="s">
        <v>15</v>
      </c>
      <c r="D1" s="5" t="s">
        <v>16</v>
      </c>
      <c r="E1" s="1" t="s">
        <v>7</v>
      </c>
      <c r="F1" s="1" t="s">
        <v>8</v>
      </c>
      <c r="G1" s="1" t="s">
        <v>9</v>
      </c>
      <c r="H1" s="1" t="s">
        <v>13</v>
      </c>
      <c r="I1" s="1" t="s">
        <v>18</v>
      </c>
      <c r="J1" s="1" t="s">
        <v>19</v>
      </c>
      <c r="K1" s="1" t="s">
        <v>20</v>
      </c>
    </row>
    <row r="2" spans="1:11" x14ac:dyDescent="0.25">
      <c r="A2" s="4" t="s">
        <v>0</v>
      </c>
      <c r="B2" s="4" t="s">
        <v>1</v>
      </c>
      <c r="C2" s="4" t="s">
        <v>2</v>
      </c>
      <c r="D2" s="4">
        <v>50000</v>
      </c>
      <c r="E2" s="2">
        <f>SUMIF(B2:B11, "Minuman", D2:D11)</f>
        <v>150000</v>
      </c>
      <c r="F2">
        <f>SUMIF(B2:B11, "Makanan", D2:D11)</f>
        <v>350000</v>
      </c>
      <c r="G2">
        <f>SUMIF(C2:C11, "April", D2:D11)</f>
        <v>105000</v>
      </c>
      <c r="H2">
        <f>SUMIFS(D2:D11, C2:C11, "Maret", A2:A11, "Donat" )</f>
        <v>70000</v>
      </c>
      <c r="I2">
        <f>SUMIFS(D2:D11,C2:C11,  "Maret", A2:A11, "Makanan")</f>
        <v>0</v>
      </c>
      <c r="J2">
        <f>SUMIFS(D2:D11,A2:A11,"&lt;&gt;Donat",C2:C11,  "&lt;&gt;Maret")</f>
        <v>130000</v>
      </c>
      <c r="K2" s="3">
        <f>SUMIFS(D2:D11, A2:A11, "Donat", C2:C11, "&lt;&gt;Mei")</f>
        <v>175000</v>
      </c>
    </row>
    <row r="3" spans="1:11" x14ac:dyDescent="0.25">
      <c r="A3" s="4" t="s">
        <v>0</v>
      </c>
      <c r="B3" s="4" t="s">
        <v>1</v>
      </c>
      <c r="C3" s="4" t="s">
        <v>4</v>
      </c>
      <c r="D3" s="4">
        <v>70000</v>
      </c>
    </row>
    <row r="4" spans="1:11" x14ac:dyDescent="0.25">
      <c r="A4" s="4" t="s">
        <v>10</v>
      </c>
      <c r="B4" s="4" t="s">
        <v>1</v>
      </c>
      <c r="C4" s="4" t="s">
        <v>4</v>
      </c>
      <c r="D4" s="4">
        <v>60000</v>
      </c>
    </row>
    <row r="5" spans="1:11" x14ac:dyDescent="0.25">
      <c r="A5" s="4" t="s">
        <v>11</v>
      </c>
      <c r="B5" s="4" t="s">
        <v>3</v>
      </c>
      <c r="C5" s="4" t="s">
        <v>4</v>
      </c>
      <c r="D5" s="4">
        <v>40000</v>
      </c>
    </row>
    <row r="6" spans="1:11" x14ac:dyDescent="0.25">
      <c r="A6" s="4" t="s">
        <v>0</v>
      </c>
      <c r="B6" s="4" t="s">
        <v>1</v>
      </c>
      <c r="C6" s="4" t="s">
        <v>5</v>
      </c>
      <c r="D6" s="4">
        <v>55000</v>
      </c>
      <c r="F6" s="1"/>
    </row>
    <row r="7" spans="1:11" x14ac:dyDescent="0.25">
      <c r="A7" s="4" t="s">
        <v>12</v>
      </c>
      <c r="B7" s="4" t="s">
        <v>3</v>
      </c>
      <c r="C7" s="4" t="s">
        <v>4</v>
      </c>
      <c r="D7" s="4">
        <v>30000</v>
      </c>
      <c r="F7" s="2"/>
    </row>
    <row r="8" spans="1:11" x14ac:dyDescent="0.25">
      <c r="A8" s="4" t="s">
        <v>10</v>
      </c>
      <c r="B8" s="4" t="s">
        <v>1</v>
      </c>
      <c r="C8" s="4" t="s">
        <v>5</v>
      </c>
      <c r="D8" s="4">
        <v>50000</v>
      </c>
    </row>
    <row r="9" spans="1:11" x14ac:dyDescent="0.25">
      <c r="A9" s="4" t="s">
        <v>0</v>
      </c>
      <c r="B9" s="4" t="s">
        <v>1</v>
      </c>
      <c r="C9" s="4" t="s">
        <v>6</v>
      </c>
      <c r="D9" s="4">
        <v>65000</v>
      </c>
    </row>
    <row r="10" spans="1:11" x14ac:dyDescent="0.25">
      <c r="A10" s="4" t="s">
        <v>12</v>
      </c>
      <c r="B10" s="4" t="s">
        <v>3</v>
      </c>
      <c r="C10" s="4" t="s">
        <v>6</v>
      </c>
      <c r="D10" s="4">
        <v>35000</v>
      </c>
    </row>
    <row r="11" spans="1:11" x14ac:dyDescent="0.25">
      <c r="A11" s="4" t="s">
        <v>11</v>
      </c>
      <c r="B11" s="4" t="s">
        <v>3</v>
      </c>
      <c r="C11" s="4" t="s">
        <v>6</v>
      </c>
      <c r="D11" s="4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2025-11-05T07:44:17Z</dcterms:created>
  <dcterms:modified xsi:type="dcterms:W3CDTF">2025-11-05T09:34:07Z</dcterms:modified>
</cp:coreProperties>
</file>